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<sst xmlns="http://schemas.openxmlformats.org/spreadsheetml/2006/main" count="25" uniqueCount="21">
  <si>
    <t>WhisperX Performance Testing</t>
  </si>
  <si>
    <t>20 min. Audio, EN, whisper large</t>
  </si>
  <si>
    <t>2 sockets 3 core</t>
  </si>
  <si>
    <t>AMD 395+</t>
  </si>
  <si>
    <t>1 process</t>
  </si>
  <si>
    <t>Cached</t>
  </si>
  <si>
    <t>Different Audio</t>
  </si>
  <si>
    <t>Multi-process</t>
  </si>
  <si>
    <t>VM (Equinix)</t>
  </si>
  <si>
    <t>CPU 4 Threads</t>
  </si>
  <si>
    <t>CPU 8 Threads</t>
  </si>
  <si>
    <t>CPU 16 Threads</t>
  </si>
  <si>
    <t>CPU 30 Threads</t>
  </si>
  <si>
    <t>GPU</t>
  </si>
  <si>
    <t>2x CPU 4 Thrds</t>
  </si>
  <si>
    <t>2x CPU 8 Thrds</t>
  </si>
  <si>
    <t>4x CPU 7 Thrds</t>
  </si>
  <si>
    <t>Transcription time</t>
  </si>
  <si>
    <t>Align Model time</t>
  </si>
  <si>
    <t>Diarization time</t>
  </si>
  <si>
    <t>20 min. Audio, DE, whisper large ( Chunk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</si>
</sst>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5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2" fillId="0" fontId="3" numFmtId="0" xfId="0" applyBorder="1" applyFont="1"/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2" fillId="0" fontId="3" numFmtId="0" xfId="0" applyAlignment="1" applyBorder="1" applyFont="1">
      <alignment readingOrder="0"/>
    </xf>
    <xf borderId="0" fillId="0" fontId="3" numFmtId="2" xfId="0" applyAlignment="1" applyFont="1" applyNumberFormat="1">
      <alignment horizontal="right"/>
    </xf>
    <xf borderId="3" fillId="0" fontId="3" numFmtId="2" xfId="0" applyAlignment="1" applyBorder="1" applyFont="1" applyNumberFormat="1">
      <alignment horizontal="righ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3" max="3" width="15.13"/>
    <col customWidth="1" min="4" max="5" width="14.13"/>
    <col customWidth="1" min="6" max="6" width="13.75"/>
  </cols>
  <sheetData>
    <row r="1">
      <c r="A1" s="1" t="s">
        <v>0</v>
      </c>
      <c r="B1" s="1"/>
    </row>
    <row r="2">
      <c r="A2" s="2" t="s">
        <v>1</v>
      </c>
    </row>
    <row r="3">
      <c r="B3" s="3"/>
      <c r="C3" s="4"/>
    </row>
    <row r="4">
      <c r="B4" s="4" t="s">
        <v>2</v>
      </c>
      <c r="C4" s="4" t="s">
        <v>3</v>
      </c>
      <c r="D4" s="5" t="s">
        <v>4</v>
      </c>
      <c r="F4" s="5"/>
      <c r="G4" s="5" t="s">
        <v>5</v>
      </c>
      <c r="H4" s="5" t="s">
        <v>6</v>
      </c>
      <c r="J4" s="5" t="s">
        <v>7</v>
      </c>
    </row>
    <row r="5">
      <c r="A5" s="3"/>
      <c r="B5" s="4" t="s">
        <v>8</v>
      </c>
      <c r="C5" s="4" t="s">
        <v>9</v>
      </c>
      <c r="D5" s="6" t="s">
        <v>10</v>
      </c>
      <c r="E5" s="4" t="s">
        <v>11</v>
      </c>
      <c r="F5" s="4" t="s">
        <v>12</v>
      </c>
      <c r="G5" s="4" t="s">
        <v>13</v>
      </c>
      <c r="H5" s="4" t="s">
        <v>13</v>
      </c>
      <c r="I5" s="3"/>
      <c r="J5" s="4" t="s">
        <v>14</v>
      </c>
      <c r="K5" s="5" t="s">
        <v>15</v>
      </c>
      <c r="L5" s="6" t="s">
        <v>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D6" s="7"/>
      <c r="L6" s="7"/>
    </row>
    <row r="7">
      <c r="A7" s="5" t="s">
        <v>17</v>
      </c>
      <c r="B7" s="5">
        <v>2906.67</v>
      </c>
      <c r="C7" s="5">
        <v>425.94</v>
      </c>
      <c r="D7" s="8"/>
      <c r="E7" s="9">
        <v>171.84</v>
      </c>
      <c r="F7" s="5"/>
      <c r="G7" s="5">
        <v>45.44</v>
      </c>
      <c r="H7" s="5">
        <v>46.82</v>
      </c>
      <c r="L7" s="7"/>
    </row>
    <row r="8">
      <c r="A8" s="5" t="s">
        <v>18</v>
      </c>
      <c r="B8" s="5">
        <v>363.95</v>
      </c>
      <c r="C8" s="5">
        <v>53.7</v>
      </c>
      <c r="D8" s="8"/>
      <c r="E8" s="9">
        <v>26.91</v>
      </c>
      <c r="F8" s="5"/>
      <c r="G8" s="5">
        <v>17.72</v>
      </c>
      <c r="H8" s="9">
        <v>284.67</v>
      </c>
      <c r="L8" s="7"/>
    </row>
    <row r="9">
      <c r="A9" s="5" t="s">
        <v>19</v>
      </c>
      <c r="B9" s="5">
        <v>3759.08</v>
      </c>
      <c r="C9" s="5">
        <v>868.57</v>
      </c>
      <c r="D9" s="8"/>
      <c r="E9" s="9">
        <v>319.58</v>
      </c>
      <c r="F9" s="5"/>
      <c r="G9" s="5">
        <v>30.97</v>
      </c>
      <c r="H9" s="9">
        <v>30.61</v>
      </c>
      <c r="L9" s="7"/>
    </row>
    <row r="10">
      <c r="D10" s="7"/>
      <c r="L10" s="7"/>
    </row>
    <row r="11">
      <c r="B11" s="10">
        <f t="shared" ref="B11:C11" si="1">SUM(B6:B10)</f>
        <v>7029.7</v>
      </c>
      <c r="C11" s="10">
        <f t="shared" si="1"/>
        <v>1348.21</v>
      </c>
      <c r="D11" s="11">
        <v>553.81</v>
      </c>
      <c r="E11" s="5">
        <f>SUM(E7:E9)</f>
        <v>518.33</v>
      </c>
      <c r="F11" s="5">
        <v>521.8</v>
      </c>
      <c r="G11" s="10">
        <f t="shared" ref="G11:I11" si="2">SUM(G6:G10)</f>
        <v>94.13</v>
      </c>
      <c r="H11" s="10">
        <f t="shared" si="2"/>
        <v>362.1</v>
      </c>
      <c r="I11" s="10">
        <f t="shared" si="2"/>
        <v>0</v>
      </c>
      <c r="K11" s="5">
        <v>690.0</v>
      </c>
      <c r="L11" s="11">
        <v>1050.0</v>
      </c>
    </row>
    <row r="12">
      <c r="A12" s="3"/>
      <c r="B12" s="3"/>
      <c r="C12" s="12" t="str">
        <f>Concat(Round(B11/C11, 1), "x vs VM")</f>
        <v>5.2x vs VM</v>
      </c>
      <c r="D12" s="13" t="str">
        <f>Concat(Round(C11/D11, 1), "x vs 4T")</f>
        <v>2.4x vs 4T</v>
      </c>
      <c r="E12" s="12" t="str">
        <f>Concat(Round(D11/E11, 1), "x vs 8T")</f>
        <v>1.1x vs 8T</v>
      </c>
      <c r="F12" s="12" t="str">
        <f>Concat(Round(E11/F11, 1), "x vs 16T")</f>
        <v>1x vs 16T</v>
      </c>
      <c r="G12" s="12"/>
      <c r="H12" s="12"/>
      <c r="I12" s="12"/>
      <c r="J12" s="12"/>
      <c r="K12" s="12"/>
      <c r="L12" s="13" t="str">
        <f>Concat(Round(K11*2/L11, 1), "x vs 2x8T")</f>
        <v>1.3x vs 2x8T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4">
      <c r="A14" s="2" t="s">
        <v>20</v>
      </c>
    </row>
    <row r="16">
      <c r="A16" s="5" t="s">
        <v>17</v>
      </c>
      <c r="F16" s="5"/>
      <c r="G16" s="5">
        <v>48.73</v>
      </c>
      <c r="H16" s="5">
        <v>48.32</v>
      </c>
    </row>
    <row r="17">
      <c r="A17" s="5" t="s">
        <v>18</v>
      </c>
      <c r="F17" s="5"/>
      <c r="G17" s="5">
        <v>17.23</v>
      </c>
      <c r="H17" s="14">
        <v>302.74</v>
      </c>
    </row>
    <row r="18">
      <c r="A18" s="5" t="s">
        <v>19</v>
      </c>
      <c r="F18" s="5"/>
      <c r="G18" s="5">
        <v>29.43</v>
      </c>
      <c r="H18" s="5">
        <v>29.46</v>
      </c>
    </row>
    <row r="20">
      <c r="G20" s="10">
        <f t="shared" ref="G20:H20" si="3">SUM(G16:G18)</f>
        <v>95.39</v>
      </c>
      <c r="H20" s="10">
        <f t="shared" si="3"/>
        <v>380.52</v>
      </c>
      <c r="K20" s="5">
        <v>680.0</v>
      </c>
    </row>
    <row r="23">
      <c r="O23" s="9"/>
    </row>
    <row r="24">
      <c r="O24" s="9"/>
    </row>
    <row r="25">
      <c r="O25" s="9"/>
    </row>
  </sheetData>
  <drawing r:id="rId1"/>
</worksheet>
</file>